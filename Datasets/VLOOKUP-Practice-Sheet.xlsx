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CC4FD116-F07E-4A3F-B8D4-315C1B364EA1}" xr6:coauthVersionLast="47" xr6:coauthVersionMax="47" xr10:uidLastSave="{00000000-0000-0000-0000-000000000000}"/>
  <bookViews>
    <workbookView xWindow="22932" yWindow="-96" windowWidth="23256" windowHeight="12456" activeTab="1" xr2:uid="{00000000-000D-0000-FFFF-FFFF00000000}"/>
  </bookViews>
  <sheets>
    <sheet name="Sheet3" sheetId="3" r:id="rId1"/>
    <sheet name="Sheet1" sheetId="1" r:id="rId2"/>
    <sheet name="Sheet2" sheetId="2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" l="1"/>
  <c r="K17" i="1"/>
  <c r="K18" i="1"/>
  <c r="K19" i="1"/>
  <c r="K15" i="1"/>
  <c r="J16" i="1"/>
  <c r="J17" i="1"/>
  <c r="J18" i="1"/>
  <c r="J19" i="1"/>
  <c r="J15" i="1"/>
  <c r="I16" i="1"/>
  <c r="I17" i="1"/>
  <c r="I18" i="1"/>
  <c r="I19" i="1"/>
  <c r="I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D15" i="1"/>
  <c r="E15" i="1"/>
  <c r="F15" i="1"/>
  <c r="G15" i="1"/>
  <c r="H15" i="1"/>
  <c r="C15" i="1"/>
  <c r="B16" i="1"/>
  <c r="B17" i="1"/>
  <c r="B18" i="1"/>
  <c r="B19" i="1"/>
  <c r="B15" i="1"/>
</calcChain>
</file>

<file path=xl/sharedStrings.xml><?xml version="1.0" encoding="utf-8"?>
<sst xmlns="http://schemas.openxmlformats.org/spreadsheetml/2006/main" count="40" uniqueCount="27">
  <si>
    <t>ID</t>
  </si>
  <si>
    <t>Name</t>
  </si>
  <si>
    <t>Total Pay</t>
  </si>
  <si>
    <t>G001</t>
  </si>
  <si>
    <t>Chan,   Daniel</t>
  </si>
  <si>
    <t>G002</t>
  </si>
  <si>
    <t>Ali, Dana</t>
  </si>
  <si>
    <t>G003</t>
  </si>
  <si>
    <t>Sanchez,  Alexis</t>
  </si>
  <si>
    <t>G004</t>
  </si>
  <si>
    <t>Fischer, Wolfgang</t>
  </si>
  <si>
    <t>G005</t>
  </si>
  <si>
    <t>Patel, Anika</t>
  </si>
  <si>
    <t>DOH</t>
  </si>
  <si>
    <t>Status</t>
  </si>
  <si>
    <t>Pay Rate</t>
  </si>
  <si>
    <t>On Leave</t>
  </si>
  <si>
    <t>Contractor</t>
  </si>
  <si>
    <t>Full-Time</t>
  </si>
  <si>
    <t>Names</t>
  </si>
  <si>
    <t>Hours</t>
  </si>
  <si>
    <t>Row Labels</t>
  </si>
  <si>
    <t>Chan, Daniel</t>
  </si>
  <si>
    <t>Sanchez, Alexis</t>
  </si>
  <si>
    <t>Grand Total</t>
  </si>
  <si>
    <t>Sum of Pay Rate</t>
  </si>
  <si>
    <t>Sum of 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</si>
</sst>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71" formatCode="_-[$$-409]* #,##0.00_ ;_-[$$-409]* \-#,##0.00\ ;_-[$$-409]* &quot;-&quot;??_ ;_-@_ 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0F1114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2" fillId="0" borderId="0" xfId="0" applyNumberFormat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1">
    <dxf>
      <numFmt numFmtId="171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Manalo" refreshedDate="46079.502657060184" createdVersion="8" refreshedVersion="8" minRefreshableVersion="3" recordCount="5" xr:uid="{5DCC1083-C329-439B-9D84-CADB68ECA084}">
  <cacheSource type="worksheet">
    <worksheetSource ref="B14:K19" sheet="Sheet1"/>
  </cacheSource>
  <cacheFields count="10">
    <cacheField name="Names" numFmtId="0">
      <sharedItems count="5">
        <s v="Chan, Daniel"/>
        <s v="Ali, Dana"/>
        <s v="Sanchez, Alexis"/>
        <s v="Fischer, Wolfgang"/>
        <s v="Patel, Anika"/>
      </sharedItems>
    </cacheField>
    <cacheField name="01/01/2020" numFmtId="0">
      <sharedItems containsSemiMixedTypes="0" containsString="0" containsNumber="1" minValue="6" maxValue="8.5"/>
    </cacheField>
    <cacheField name="01/02/2020" numFmtId="0">
      <sharedItems containsSemiMixedTypes="0" containsString="0" containsNumber="1" minValue="5" maxValue="8"/>
    </cacheField>
    <cacheField name="01/03/2020" numFmtId="0">
      <sharedItems containsSemiMixedTypes="0" containsString="0" containsNumber="1" minValue="5" maxValue="10"/>
    </cacheField>
    <cacheField name="01/04/2020" numFmtId="0">
      <sharedItems containsSemiMixedTypes="0" containsString="0" containsNumber="1" minValue="5.5" maxValue="8"/>
    </cacheField>
    <cacheField name="01/05/2020" numFmtId="0">
      <sharedItems containsSemiMixedTypes="0" containsString="0" containsNumber="1" containsInteger="1" minValue="5" maxValue="9"/>
    </cacheField>
    <cacheField name="01/06/2020" numFmtId="0">
      <sharedItems containsSemiMixedTypes="0" containsString="0" containsNumber="1" minValue="2" maxValue="5.5"/>
    </cacheField>
    <cacheField name="Hours" numFmtId="0">
      <sharedItems containsSemiMixedTypes="0" containsString="0" containsNumber="1" minValue="29.5" maxValue="46"/>
    </cacheField>
    <cacheField name="Pay Rate" numFmtId="0">
      <sharedItems containsSemiMixedTypes="0" containsString="0" containsNumber="1" minValue="65" maxValue="3000"/>
    </cacheField>
    <cacheField name="Total Pay" numFmtId="0">
      <sharedItems containsSemiMixedTypes="0" containsString="0" containsNumber="1" minValue="2730" maxValue="8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8"/>
    <n v="8"/>
    <n v="8.5"/>
    <n v="7"/>
    <n v="5"/>
    <n v="2.5"/>
    <n v="39"/>
    <n v="100.5"/>
    <n v="3919.5"/>
  </r>
  <r>
    <x v="1"/>
    <n v="8.5"/>
    <n v="7"/>
    <n v="8"/>
    <n v="8"/>
    <n v="9"/>
    <n v="5.5"/>
    <n v="46"/>
    <n v="75"/>
    <n v="3450"/>
  </r>
  <r>
    <x v="2"/>
    <n v="7.5"/>
    <n v="6.5"/>
    <n v="10"/>
    <n v="8"/>
    <n v="7"/>
    <n v="5"/>
    <n v="44"/>
    <n v="150"/>
    <n v="6600"/>
  </r>
  <r>
    <x v="3"/>
    <n v="8"/>
    <n v="8"/>
    <n v="8"/>
    <n v="7"/>
    <n v="7"/>
    <n v="4"/>
    <n v="42"/>
    <n v="65"/>
    <n v="2730"/>
  </r>
  <r>
    <x v="4"/>
    <n v="6"/>
    <n v="5"/>
    <n v="5"/>
    <n v="5.5"/>
    <n v="6"/>
    <n v="2"/>
    <n v="29.5"/>
    <n v="3000"/>
    <n v="88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5308B-0AA8-4628-8C59-45576EEAB31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0"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y Rate" fld="8" baseField="0" baseItem="0"/>
    <dataField name="Sum of Total Pay" fld="9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778A-DDE5-4F10-9A15-93D88973AC33}">
  <dimension ref="A3:C9"/>
  <sheetViews>
    <sheetView workbookViewId="0">
      <selection activeCell="G13" sqref="G13"/>
    </sheetView>
  </sheetViews>
  <sheetFormatPr defaultRowHeight="12.75" x14ac:dyDescent="0.2"/>
  <cols>
    <col min="1" max="1" width="16.5703125" bestFit="1" customWidth="1"/>
    <col min="2" max="2" width="16.28515625" bestFit="1" customWidth="1"/>
    <col min="3" max="3" width="16.7109375" bestFit="1" customWidth="1"/>
  </cols>
  <sheetData>
    <row r="3" spans="1:3" x14ac:dyDescent="0.2">
      <c r="A3" s="5" t="s">
        <v>21</v>
      </c>
      <c r="B3" t="s">
        <v>25</v>
      </c>
      <c r="C3" t="s">
        <v>26</v>
      </c>
    </row>
    <row r="4" spans="1:3" x14ac:dyDescent="0.2">
      <c r="A4" s="6" t="s">
        <v>6</v>
      </c>
      <c r="B4" s="8">
        <v>75</v>
      </c>
      <c r="C4" s="8">
        <v>3450</v>
      </c>
    </row>
    <row r="5" spans="1:3" x14ac:dyDescent="0.2">
      <c r="A5" s="6" t="s">
        <v>22</v>
      </c>
      <c r="B5" s="8">
        <v>100.5</v>
      </c>
      <c r="C5" s="8">
        <v>3919.5</v>
      </c>
    </row>
    <row r="6" spans="1:3" x14ac:dyDescent="0.2">
      <c r="A6" s="6" t="s">
        <v>10</v>
      </c>
      <c r="B6" s="8">
        <v>65</v>
      </c>
      <c r="C6" s="8">
        <v>2730</v>
      </c>
    </row>
    <row r="7" spans="1:3" x14ac:dyDescent="0.2">
      <c r="A7" s="6" t="s">
        <v>12</v>
      </c>
      <c r="B7" s="8">
        <v>3000</v>
      </c>
      <c r="C7" s="8">
        <v>88500</v>
      </c>
    </row>
    <row r="8" spans="1:3" x14ac:dyDescent="0.2">
      <c r="A8" s="6" t="s">
        <v>23</v>
      </c>
      <c r="B8" s="8">
        <v>150</v>
      </c>
      <c r="C8" s="8">
        <v>6600</v>
      </c>
    </row>
    <row r="9" spans="1:3" x14ac:dyDescent="0.2">
      <c r="A9" s="6" t="s">
        <v>24</v>
      </c>
      <c r="B9" s="7">
        <v>3390.5</v>
      </c>
      <c r="C9" s="7">
        <v>105199.5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9"/>
  <sheetViews>
    <sheetView tabSelected="1" workbookViewId="0">
      <selection activeCell="B17" sqref="B17"/>
    </sheetView>
  </sheetViews>
  <sheetFormatPr defaultColWidth="12.5703125" defaultRowHeight="15.75" customHeight="1" x14ac:dyDescent="0.2"/>
  <cols>
    <col min="2" max="2" width="16.5703125" bestFit="1" customWidth="1"/>
    <col min="13" max="13" width="47.42578125" bestFit="1" customWidth="1"/>
  </cols>
  <sheetData>
    <row r="1" spans="1:13" x14ac:dyDescent="0.2">
      <c r="A1" s="1" t="s">
        <v>0</v>
      </c>
      <c r="B1" s="1" t="s">
        <v>1</v>
      </c>
      <c r="C1" s="2">
        <v>43831</v>
      </c>
      <c r="D1" s="2">
        <v>43832</v>
      </c>
      <c r="E1" s="2">
        <v>43833</v>
      </c>
      <c r="F1" s="2">
        <v>43834</v>
      </c>
      <c r="G1" s="2">
        <v>43835</v>
      </c>
      <c r="H1" s="2">
        <v>43836</v>
      </c>
      <c r="I1" s="1" t="s">
        <v>2</v>
      </c>
    </row>
    <row r="2" spans="1:13" x14ac:dyDescent="0.2">
      <c r="A2" s="1" t="s">
        <v>3</v>
      </c>
      <c r="B2" s="1" t="s">
        <v>4</v>
      </c>
      <c r="C2" s="1">
        <v>8</v>
      </c>
      <c r="D2" s="1">
        <v>8</v>
      </c>
      <c r="E2" s="1">
        <v>8.5</v>
      </c>
      <c r="F2" s="1">
        <v>7</v>
      </c>
      <c r="G2" s="1">
        <v>5</v>
      </c>
      <c r="H2" s="1">
        <v>2.5</v>
      </c>
    </row>
    <row r="3" spans="1:13" x14ac:dyDescent="0.2">
      <c r="A3" s="1" t="s">
        <v>5</v>
      </c>
      <c r="B3" s="1" t="s">
        <v>6</v>
      </c>
      <c r="C3" s="1">
        <v>8.5</v>
      </c>
      <c r="D3" s="1">
        <v>7</v>
      </c>
      <c r="E3" s="1">
        <v>8</v>
      </c>
      <c r="F3" s="1">
        <v>8</v>
      </c>
      <c r="G3" s="1">
        <v>9</v>
      </c>
      <c r="H3" s="1">
        <v>5.5</v>
      </c>
    </row>
    <row r="4" spans="1:13" x14ac:dyDescent="0.2">
      <c r="A4" s="1" t="s">
        <v>7</v>
      </c>
      <c r="B4" s="1" t="s">
        <v>8</v>
      </c>
      <c r="C4" s="1">
        <v>7.5</v>
      </c>
      <c r="D4" s="1">
        <v>6.5</v>
      </c>
      <c r="E4" s="1">
        <v>10</v>
      </c>
      <c r="F4" s="1">
        <v>8</v>
      </c>
      <c r="G4" s="1">
        <v>7</v>
      </c>
      <c r="H4" s="1">
        <v>5</v>
      </c>
    </row>
    <row r="5" spans="1:13" ht="12.75" x14ac:dyDescent="0.2">
      <c r="A5" s="1" t="s">
        <v>9</v>
      </c>
      <c r="B5" s="1" t="s">
        <v>10</v>
      </c>
      <c r="C5" s="1">
        <v>8</v>
      </c>
      <c r="D5" s="1">
        <v>8</v>
      </c>
      <c r="E5" s="1">
        <v>8</v>
      </c>
      <c r="F5" s="1">
        <v>7</v>
      </c>
      <c r="G5" s="1">
        <v>7</v>
      </c>
      <c r="H5" s="1">
        <v>4</v>
      </c>
    </row>
    <row r="6" spans="1:13" ht="12.75" x14ac:dyDescent="0.2">
      <c r="A6" s="1" t="s">
        <v>11</v>
      </c>
      <c r="B6" s="1" t="s">
        <v>12</v>
      </c>
      <c r="C6" s="1">
        <v>6</v>
      </c>
      <c r="D6" s="1">
        <v>5</v>
      </c>
      <c r="E6" s="1">
        <v>5</v>
      </c>
      <c r="F6" s="1">
        <v>5.5</v>
      </c>
      <c r="G6" s="1">
        <v>6</v>
      </c>
      <c r="H6" s="1">
        <v>2</v>
      </c>
      <c r="M6" s="4"/>
    </row>
    <row r="7" spans="1:13" ht="15.75" customHeight="1" x14ac:dyDescent="0.2">
      <c r="M7" s="4"/>
    </row>
    <row r="11" spans="1:13" x14ac:dyDescent="0.2">
      <c r="B11" s="1"/>
    </row>
    <row r="14" spans="1:13" ht="15.75" customHeight="1" x14ac:dyDescent="0.25">
      <c r="B14" t="s">
        <v>19</v>
      </c>
      <c r="C14" s="3">
        <v>43831</v>
      </c>
      <c r="D14" s="3">
        <v>43862</v>
      </c>
      <c r="E14" s="3">
        <v>43891</v>
      </c>
      <c r="F14" s="3">
        <v>43922</v>
      </c>
      <c r="G14" s="3">
        <v>43952</v>
      </c>
      <c r="H14" s="3">
        <v>43983</v>
      </c>
      <c r="I14" s="4" t="s">
        <v>20</v>
      </c>
      <c r="J14" s="4" t="s">
        <v>15</v>
      </c>
      <c r="K14" s="4" t="s">
        <v>2</v>
      </c>
    </row>
    <row r="15" spans="1:13" ht="15.75" customHeight="1" x14ac:dyDescent="0.2">
      <c r="B15" t="str">
        <f>TRIM(B2)</f>
        <v>Chan, Daniel</v>
      </c>
      <c r="C15">
        <f>VALUE(C2)</f>
        <v>8</v>
      </c>
      <c r="D15">
        <f t="shared" ref="D15:H15" si="0">VALUE(D2)</f>
        <v>8</v>
      </c>
      <c r="E15">
        <f t="shared" si="0"/>
        <v>8.5</v>
      </c>
      <c r="F15">
        <f t="shared" si="0"/>
        <v>7</v>
      </c>
      <c r="G15">
        <f t="shared" si="0"/>
        <v>5</v>
      </c>
      <c r="H15">
        <f t="shared" si="0"/>
        <v>2.5</v>
      </c>
      <c r="I15">
        <f>SUM(C15:H15)</f>
        <v>39</v>
      </c>
      <c r="J15" s="4">
        <f>_xlfn.XLOOKUP(A2, Sheet2!A$2:A$6, Sheet2!D$2:D$6)</f>
        <v>100.5</v>
      </c>
      <c r="K15">
        <f>I15*J15</f>
        <v>3919.5</v>
      </c>
    </row>
    <row r="16" spans="1:13" ht="15.75" customHeight="1" x14ac:dyDescent="0.2">
      <c r="B16" t="str">
        <f t="shared" ref="B16:B19" si="1">TRIM(B3)</f>
        <v>Ali, Dana</v>
      </c>
      <c r="C16">
        <f t="shared" ref="C16:H16" si="2">VALUE(C3)</f>
        <v>8.5</v>
      </c>
      <c r="D16">
        <f t="shared" si="2"/>
        <v>7</v>
      </c>
      <c r="E16">
        <f t="shared" si="2"/>
        <v>8</v>
      </c>
      <c r="F16">
        <f t="shared" si="2"/>
        <v>8</v>
      </c>
      <c r="G16">
        <f t="shared" si="2"/>
        <v>9</v>
      </c>
      <c r="H16">
        <f t="shared" si="2"/>
        <v>5.5</v>
      </c>
      <c r="I16">
        <f t="shared" ref="I16:I19" si="3">SUM(C16:H16)</f>
        <v>46</v>
      </c>
      <c r="J16" s="4">
        <f>_xlfn.XLOOKUP(A3, Sheet2!A$2:A$6, Sheet2!D$2:D$6)</f>
        <v>75</v>
      </c>
      <c r="K16">
        <f t="shared" ref="K16:K19" si="4">I16*J16</f>
        <v>3450</v>
      </c>
    </row>
    <row r="17" spans="2:11" ht="15.75" customHeight="1" x14ac:dyDescent="0.2">
      <c r="B17" t="str">
        <f t="shared" si="1"/>
        <v>Sanchez, Alexis</v>
      </c>
      <c r="C17">
        <f t="shared" ref="C17:H17" si="5">VALUE(C4)</f>
        <v>7.5</v>
      </c>
      <c r="D17">
        <f t="shared" si="5"/>
        <v>6.5</v>
      </c>
      <c r="E17">
        <f t="shared" si="5"/>
        <v>10</v>
      </c>
      <c r="F17">
        <f t="shared" si="5"/>
        <v>8</v>
      </c>
      <c r="G17">
        <f t="shared" si="5"/>
        <v>7</v>
      </c>
      <c r="H17">
        <f t="shared" si="5"/>
        <v>5</v>
      </c>
      <c r="I17">
        <f t="shared" si="3"/>
        <v>44</v>
      </c>
      <c r="J17" s="4">
        <f>_xlfn.XLOOKUP(A4, Sheet2!A$2:A$6, Sheet2!D$2:D$6)</f>
        <v>150</v>
      </c>
      <c r="K17">
        <f t="shared" si="4"/>
        <v>6600</v>
      </c>
    </row>
    <row r="18" spans="2:11" ht="15.75" customHeight="1" x14ac:dyDescent="0.2">
      <c r="B18" t="str">
        <f t="shared" si="1"/>
        <v>Fischer, Wolfgang</v>
      </c>
      <c r="C18">
        <f t="shared" ref="C18:H18" si="6">VALUE(C5)</f>
        <v>8</v>
      </c>
      <c r="D18">
        <f t="shared" si="6"/>
        <v>8</v>
      </c>
      <c r="E18">
        <f t="shared" si="6"/>
        <v>8</v>
      </c>
      <c r="F18">
        <f t="shared" si="6"/>
        <v>7</v>
      </c>
      <c r="G18">
        <f t="shared" si="6"/>
        <v>7</v>
      </c>
      <c r="H18">
        <f t="shared" si="6"/>
        <v>4</v>
      </c>
      <c r="I18">
        <f t="shared" si="3"/>
        <v>42</v>
      </c>
      <c r="J18" s="4">
        <f>_xlfn.XLOOKUP(A5, Sheet2!A$2:A$6, Sheet2!D$2:D$6)</f>
        <v>65</v>
      </c>
      <c r="K18">
        <f t="shared" si="4"/>
        <v>2730</v>
      </c>
    </row>
    <row r="19" spans="2:11" ht="15.75" customHeight="1" x14ac:dyDescent="0.2">
      <c r="B19" t="str">
        <f t="shared" si="1"/>
        <v>Patel, Anika</v>
      </c>
      <c r="C19">
        <f t="shared" ref="C19:H19" si="7">VALUE(C6)</f>
        <v>6</v>
      </c>
      <c r="D19">
        <f t="shared" si="7"/>
        <v>5</v>
      </c>
      <c r="E19">
        <f t="shared" si="7"/>
        <v>5</v>
      </c>
      <c r="F19">
        <f t="shared" si="7"/>
        <v>5.5</v>
      </c>
      <c r="G19">
        <f t="shared" si="7"/>
        <v>6</v>
      </c>
      <c r="H19">
        <f t="shared" si="7"/>
        <v>2</v>
      </c>
      <c r="I19">
        <f t="shared" si="3"/>
        <v>29.5</v>
      </c>
      <c r="J19" s="4">
        <f>_xlfn.XLOOKUP(A6, Sheet2!A$2:A$6, Sheet2!D$2:D$6)</f>
        <v>3000</v>
      </c>
      <c r="K19">
        <f t="shared" si="4"/>
        <v>88500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2">
      <c r="A2" s="1" t="s">
        <v>3</v>
      </c>
      <c r="B2" s="2">
        <v>40532</v>
      </c>
      <c r="C2" s="1" t="s">
        <v>16</v>
      </c>
      <c r="D2" s="1">
        <v>100.5</v>
      </c>
    </row>
    <row r="3" spans="1:4" x14ac:dyDescent="0.2">
      <c r="A3" s="1" t="s">
        <v>5</v>
      </c>
      <c r="B3" s="2">
        <v>40183</v>
      </c>
      <c r="C3" s="1" t="s">
        <v>17</v>
      </c>
      <c r="D3" s="1">
        <v>75</v>
      </c>
    </row>
    <row r="4" spans="1:4" x14ac:dyDescent="0.2">
      <c r="A4" s="1" t="s">
        <v>7</v>
      </c>
      <c r="B4" s="2">
        <v>40858</v>
      </c>
      <c r="C4" s="1" t="s">
        <v>18</v>
      </c>
      <c r="D4" s="1">
        <v>150</v>
      </c>
    </row>
    <row r="5" spans="1:4" x14ac:dyDescent="0.2">
      <c r="A5" s="1" t="s">
        <v>9</v>
      </c>
      <c r="B5" s="2">
        <v>43232</v>
      </c>
      <c r="C5" s="1" t="s">
        <v>17</v>
      </c>
      <c r="D5" s="1">
        <v>65</v>
      </c>
    </row>
    <row r="6" spans="1:4" x14ac:dyDescent="0.2">
      <c r="A6" s="1" t="s">
        <v>11</v>
      </c>
      <c r="B6" s="2">
        <v>43832</v>
      </c>
      <c r="C6" s="1" t="s">
        <v>18</v>
      </c>
      <c r="D6" s="1">
        <v>3000</v>
      </c>
    </row>
    <row r="7" spans="1:4" x14ac:dyDescent="0.2"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2026-02-26T04:09:53Z</dcterms:modified>
</cp:coreProperties>
</file>